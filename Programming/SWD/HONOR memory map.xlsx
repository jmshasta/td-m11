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Documents\"/>
    </mc:Choice>
  </mc:AlternateContent>
  <xr:revisionPtr revIDLastSave="0" documentId="13_ncr:1_{6CE49186-07D5-4264-AEC3-F377D916E2AD}" xr6:coauthVersionLast="47" xr6:coauthVersionMax="47" xr10:uidLastSave="{00000000-0000-0000-0000-000000000000}"/>
  <bookViews>
    <workbookView xWindow="1155" yWindow="4035" windowWidth="24795" windowHeight="23445" activeTab="1" xr2:uid="{D9A08795-5C0A-4CA5-8650-5D6AD616B4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2" l="1"/>
  <c r="I31" i="2"/>
  <c r="K31" i="2" s="1"/>
  <c r="J31" i="2"/>
  <c r="L31" i="2" s="1"/>
  <c r="I32" i="2"/>
  <c r="K32" i="2" s="1"/>
  <c r="J32" i="2"/>
  <c r="L32" i="2" s="1"/>
  <c r="M32" i="2" s="1"/>
  <c r="I33" i="2"/>
  <c r="K33" i="2" s="1"/>
  <c r="M33" i="2" s="1"/>
  <c r="J33" i="2"/>
  <c r="L33" i="2"/>
  <c r="I34" i="2"/>
  <c r="K34" i="2" s="1"/>
  <c r="J34" i="2"/>
  <c r="L34" i="2" s="1"/>
  <c r="I35" i="2"/>
  <c r="J35" i="2"/>
  <c r="L35" i="2" s="1"/>
  <c r="K35" i="2"/>
  <c r="I36" i="2"/>
  <c r="K36" i="2" s="1"/>
  <c r="J36" i="2"/>
  <c r="L36" i="2" s="1"/>
  <c r="M36" i="2" s="1"/>
  <c r="I37" i="2"/>
  <c r="K37" i="2" s="1"/>
  <c r="J37" i="2"/>
  <c r="L37" i="2" s="1"/>
  <c r="I38" i="2"/>
  <c r="J38" i="2"/>
  <c r="K38" i="2"/>
  <c r="L38" i="2"/>
  <c r="M38" i="2" s="1"/>
  <c r="I39" i="2"/>
  <c r="K39" i="2" s="1"/>
  <c r="J39" i="2"/>
  <c r="L39" i="2" s="1"/>
  <c r="M39" i="2" s="1"/>
  <c r="I40" i="2"/>
  <c r="K40" i="2" s="1"/>
  <c r="J40" i="2"/>
  <c r="L40" i="2" s="1"/>
  <c r="M40" i="2" s="1"/>
  <c r="I41" i="2"/>
  <c r="K41" i="2" s="1"/>
  <c r="M41" i="2" s="1"/>
  <c r="J41" i="2"/>
  <c r="L41" i="2"/>
  <c r="I42" i="2"/>
  <c r="K42" i="2" s="1"/>
  <c r="J42" i="2"/>
  <c r="L42" i="2" s="1"/>
  <c r="D7" i="2"/>
  <c r="E7" i="2"/>
  <c r="D9" i="2"/>
  <c r="E9" i="2"/>
  <c r="D11" i="2"/>
  <c r="E11" i="2"/>
  <c r="D13" i="2"/>
  <c r="E13" i="2"/>
  <c r="D15" i="2"/>
  <c r="E15" i="2"/>
  <c r="D19" i="2"/>
  <c r="E19" i="2"/>
  <c r="D21" i="2"/>
  <c r="E21" i="2"/>
  <c r="D23" i="2"/>
  <c r="E23" i="2"/>
  <c r="D25" i="2"/>
  <c r="E25" i="2"/>
  <c r="D27" i="2"/>
  <c r="E27" i="2"/>
  <c r="D29" i="2"/>
  <c r="E29" i="2"/>
  <c r="E6" i="2"/>
  <c r="D6" i="2"/>
  <c r="E4" i="2"/>
  <c r="D4" i="2"/>
  <c r="I3" i="2"/>
  <c r="K3" i="2" s="1"/>
  <c r="J3" i="2"/>
  <c r="L3" i="2" s="1"/>
  <c r="I4" i="2"/>
  <c r="K4" i="2" s="1"/>
  <c r="J4" i="2"/>
  <c r="L4" i="2" s="1"/>
  <c r="I5" i="2"/>
  <c r="K5" i="2" s="1"/>
  <c r="J5" i="2"/>
  <c r="L5" i="2" s="1"/>
  <c r="I6" i="2"/>
  <c r="K6" i="2" s="1"/>
  <c r="J6" i="2"/>
  <c r="L6" i="2" s="1"/>
  <c r="I7" i="2"/>
  <c r="K7" i="2" s="1"/>
  <c r="J7" i="2"/>
  <c r="L7" i="2" s="1"/>
  <c r="I8" i="2"/>
  <c r="K8" i="2" s="1"/>
  <c r="J8" i="2"/>
  <c r="L8" i="2" s="1"/>
  <c r="I9" i="2"/>
  <c r="K9" i="2" s="1"/>
  <c r="J9" i="2"/>
  <c r="L9" i="2" s="1"/>
  <c r="I10" i="2"/>
  <c r="K10" i="2" s="1"/>
  <c r="J10" i="2"/>
  <c r="L10" i="2" s="1"/>
  <c r="I11" i="2"/>
  <c r="K11" i="2" s="1"/>
  <c r="J11" i="2"/>
  <c r="L11" i="2" s="1"/>
  <c r="I12" i="2"/>
  <c r="K12" i="2" s="1"/>
  <c r="J12" i="2"/>
  <c r="L12" i="2" s="1"/>
  <c r="I13" i="2"/>
  <c r="K13" i="2" s="1"/>
  <c r="J13" i="2"/>
  <c r="L13" i="2" s="1"/>
  <c r="I14" i="2"/>
  <c r="K14" i="2" s="1"/>
  <c r="J14" i="2"/>
  <c r="L14" i="2" s="1"/>
  <c r="I15" i="2"/>
  <c r="K15" i="2" s="1"/>
  <c r="J15" i="2"/>
  <c r="L15" i="2" s="1"/>
  <c r="I16" i="2"/>
  <c r="K16" i="2" s="1"/>
  <c r="J16" i="2"/>
  <c r="L16" i="2" s="1"/>
  <c r="I17" i="2"/>
  <c r="K17" i="2" s="1"/>
  <c r="J17" i="2"/>
  <c r="L17" i="2" s="1"/>
  <c r="I18" i="2"/>
  <c r="K18" i="2" s="1"/>
  <c r="J18" i="2"/>
  <c r="L18" i="2" s="1"/>
  <c r="I19" i="2"/>
  <c r="K19" i="2" s="1"/>
  <c r="J19" i="2"/>
  <c r="L19" i="2" s="1"/>
  <c r="I20" i="2"/>
  <c r="K20" i="2" s="1"/>
  <c r="J20" i="2"/>
  <c r="L20" i="2" s="1"/>
  <c r="I21" i="2"/>
  <c r="K21" i="2" s="1"/>
  <c r="J21" i="2"/>
  <c r="L21" i="2" s="1"/>
  <c r="I22" i="2"/>
  <c r="K22" i="2" s="1"/>
  <c r="J22" i="2"/>
  <c r="L22" i="2" s="1"/>
  <c r="I23" i="2"/>
  <c r="K23" i="2" s="1"/>
  <c r="J23" i="2"/>
  <c r="L23" i="2" s="1"/>
  <c r="I24" i="2"/>
  <c r="K24" i="2" s="1"/>
  <c r="J24" i="2"/>
  <c r="L24" i="2" s="1"/>
  <c r="I25" i="2"/>
  <c r="K25" i="2" s="1"/>
  <c r="J25" i="2"/>
  <c r="L25" i="2" s="1"/>
  <c r="I26" i="2"/>
  <c r="K26" i="2" s="1"/>
  <c r="J26" i="2"/>
  <c r="L26" i="2" s="1"/>
  <c r="I27" i="2"/>
  <c r="K27" i="2" s="1"/>
  <c r="J27" i="2"/>
  <c r="L27" i="2" s="1"/>
  <c r="I28" i="2"/>
  <c r="K28" i="2" s="1"/>
  <c r="J28" i="2"/>
  <c r="L28" i="2" s="1"/>
  <c r="I29" i="2"/>
  <c r="K29" i="2" s="1"/>
  <c r="J29" i="2"/>
  <c r="L29" i="2" s="1"/>
  <c r="I30" i="2"/>
  <c r="K30" i="2" s="1"/>
  <c r="J30" i="2"/>
  <c r="L30" i="2" s="1"/>
  <c r="I2" i="2"/>
  <c r="K2" i="2" s="1"/>
  <c r="J2" i="2"/>
  <c r="L2" i="2" s="1"/>
  <c r="M34" i="2" l="1"/>
  <c r="E34" i="2" s="1"/>
  <c r="M35" i="2"/>
  <c r="D40" i="2"/>
  <c r="E40" i="2"/>
  <c r="M37" i="2"/>
  <c r="D34" i="2"/>
  <c r="D39" i="2"/>
  <c r="E39" i="2"/>
  <c r="D36" i="2"/>
  <c r="E36" i="2"/>
  <c r="E42" i="2"/>
  <c r="D42" i="2"/>
  <c r="D33" i="2"/>
  <c r="E33" i="2"/>
  <c r="D41" i="2"/>
  <c r="E41" i="2"/>
  <c r="D32" i="2"/>
  <c r="E32" i="2"/>
  <c r="D35" i="2"/>
  <c r="E35" i="2"/>
  <c r="E38" i="2"/>
  <c r="D38" i="2"/>
  <c r="M31" i="2"/>
  <c r="M26" i="2"/>
  <c r="M24" i="2"/>
  <c r="M18" i="2"/>
  <c r="M16" i="2"/>
  <c r="M10" i="2"/>
  <c r="M8" i="2"/>
  <c r="M29" i="2"/>
  <c r="M27" i="2"/>
  <c r="M19" i="2"/>
  <c r="M11" i="2"/>
  <c r="M5" i="2"/>
  <c r="M21" i="2"/>
  <c r="M13" i="2"/>
  <c r="M12" i="2"/>
  <c r="M4" i="2"/>
  <c r="M20" i="2"/>
  <c r="M30" i="2"/>
  <c r="M22" i="2"/>
  <c r="M14" i="2"/>
  <c r="M6" i="2"/>
  <c r="M28" i="2"/>
  <c r="M23" i="2"/>
  <c r="M15" i="2"/>
  <c r="M7" i="2"/>
  <c r="M3" i="2"/>
  <c r="M25" i="2"/>
  <c r="M17" i="2"/>
  <c r="M9" i="2"/>
  <c r="M2" i="2"/>
  <c r="D30" i="2" l="1"/>
  <c r="E30" i="2"/>
  <c r="D28" i="2"/>
  <c r="E28" i="2"/>
  <c r="E26" i="2"/>
  <c r="D26" i="2"/>
  <c r="D24" i="2"/>
  <c r="E24" i="2"/>
  <c r="D22" i="2"/>
  <c r="E22" i="2"/>
  <c r="D20" i="2"/>
  <c r="E20" i="2"/>
  <c r="D16" i="2"/>
  <c r="E16" i="2"/>
  <c r="E18" i="2"/>
  <c r="D18" i="2"/>
  <c r="E17" i="2"/>
  <c r="D17" i="2"/>
  <c r="D14" i="2"/>
  <c r="E14" i="2"/>
  <c r="D12" i="2"/>
  <c r="E12" i="2"/>
  <c r="E10" i="2"/>
  <c r="D10" i="2"/>
  <c r="E8" i="2"/>
  <c r="D8" i="2"/>
  <c r="E5" i="2"/>
  <c r="D5" i="2"/>
  <c r="D31" i="2"/>
  <c r="E31" i="2"/>
  <c r="D37" i="2"/>
  <c r="E37" i="2"/>
  <c r="D2" i="2"/>
  <c r="E2" i="2"/>
  <c r="D3" i="2"/>
  <c r="E3" i="2"/>
</calcChain>
</file>

<file path=xl/sharedStrings.xml><?xml version="1.0" encoding="utf-8"?>
<sst xmlns="http://schemas.openxmlformats.org/spreadsheetml/2006/main" count="268" uniqueCount="134">
  <si>
    <r>
      <t xml:space="preserve">bus </t>
    </r>
    <r>
      <rPr>
        <b/>
        <sz val="8"/>
        <color rgb="FF000000"/>
        <rFont val="NotoSans-Bold"/>
      </rPr>
      <t xml:space="preserve">Start </t>
    </r>
    <r>
      <rPr>
        <b/>
        <sz val="7"/>
        <color rgb="FF000000"/>
        <rFont val="NotoSans-Bold"/>
      </rPr>
      <t xml:space="preserve">Finish </t>
    </r>
    <r>
      <rPr>
        <b/>
        <sz val="6"/>
        <color rgb="FF000000"/>
        <rFont val="NotoSans-Bold"/>
      </rPr>
      <t>Module</t>
    </r>
  </si>
  <si>
    <t>0x00000000</t>
  </si>
  <si>
    <t>Storage0x00010000</t>
  </si>
  <si>
    <t>0x20000000</t>
  </si>
  <si>
    <t>0x0000FFFF</t>
  </si>
  <si>
    <t>0x1FFFFFFF</t>
  </si>
  <si>
    <t>0x200007FF</t>
  </si>
  <si>
    <t>CACHE CODE</t>
  </si>
  <si>
    <t>reserve</t>
  </si>
  <si>
    <t>RAM</t>
  </si>
  <si>
    <t>live</t>
  </si>
  <si>
    <t>instrument</t>
  </si>
  <si>
    <t>0x20000800</t>
  </si>
  <si>
    <t>0x40000000</t>
  </si>
  <si>
    <t>0x40000800</t>
  </si>
  <si>
    <t>0x40001000</t>
  </si>
  <si>
    <t>0x40002000</t>
  </si>
  <si>
    <t>0x40002800</t>
  </si>
  <si>
    <t>0x3FFFFFFF</t>
  </si>
  <si>
    <t>0x400007FF</t>
  </si>
  <si>
    <t>0x40000FFF</t>
  </si>
  <si>
    <t>0x40001FFF</t>
  </si>
  <si>
    <t>0x400027FF</t>
  </si>
  <si>
    <t>0x4005FFFF</t>
  </si>
  <si>
    <t>SYSCON</t>
  </si>
  <si>
    <t>PMU</t>
  </si>
  <si>
    <t>CACHE</t>
  </si>
  <si>
    <t>AHB</t>
  </si>
  <si>
    <t>0x40060000</t>
  </si>
  <si>
    <t>0x40060800</t>
  </si>
  <si>
    <t>0x40067000</t>
  </si>
  <si>
    <t>0x40067800</t>
  </si>
  <si>
    <t>0x4006A000</t>
  </si>
  <si>
    <t>0x4006A800</t>
  </si>
  <si>
    <t>0x4006B000</t>
  </si>
  <si>
    <t>0x4006B800</t>
  </si>
  <si>
    <t>0x4006F000</t>
  </si>
  <si>
    <t>0x4006F800</t>
  </si>
  <si>
    <t>0x400607FF</t>
  </si>
  <si>
    <t>0x40066FFF</t>
  </si>
  <si>
    <t>0x400677FF</t>
  </si>
  <si>
    <t>0x40069FFF</t>
  </si>
  <si>
    <t>0x4006A7FF</t>
  </si>
  <si>
    <t>0x4006AFFF</t>
  </si>
  <si>
    <t>0x4006B7FF</t>
  </si>
  <si>
    <t>0x4006EFFF</t>
  </si>
  <si>
    <t>0x4006F7FF</t>
  </si>
  <si>
    <t>0x400AFFFF</t>
  </si>
  <si>
    <t>GPIOA</t>
  </si>
  <si>
    <t>TIMER_PLUS0</t>
  </si>
  <si>
    <t>IWDT</t>
  </si>
  <si>
    <t>UART0</t>
  </si>
  <si>
    <t>FLASH_CTRL</t>
  </si>
  <si>
    <t>APB1</t>
  </si>
  <si>
    <r>
      <t>No.</t>
    </r>
    <r>
      <rPr>
        <sz val="8"/>
        <color rgb="FF000000"/>
        <rFont val="NotoSans-Regular"/>
      </rPr>
      <t>9</t>
    </r>
    <r>
      <rPr>
        <sz val="7"/>
        <color rgb="FF000000"/>
        <rFont val="NotoSans-Regular"/>
      </rPr>
      <t>Pages total37Page</t>
    </r>
  </si>
  <si>
    <t>HBM32G003 Datasheet</t>
  </si>
  <si>
    <t>0x400B0000</t>
  </si>
  <si>
    <t>0x400B0800</t>
  </si>
  <si>
    <t>0x400B1000</t>
  </si>
  <si>
    <t>0x400B1800</t>
  </si>
  <si>
    <t>0x400B4000</t>
  </si>
  <si>
    <t>0x400B4800</t>
  </si>
  <si>
    <t>0x400B8000</t>
  </si>
  <si>
    <t>0x400B8800</t>
  </si>
  <si>
    <t>0x400B9000</t>
  </si>
  <si>
    <t>0x400B07FF</t>
  </si>
  <si>
    <t>0x400B0FFF</t>
  </si>
  <si>
    <t>0x400B17FF</t>
  </si>
  <si>
    <t>0x400B3FFF</t>
  </si>
  <si>
    <t>0x400B47FF</t>
  </si>
  <si>
    <t>0x400B7FFF</t>
  </si>
  <si>
    <t>0x400B87FF</t>
  </si>
  <si>
    <t>0x400B8FFF</t>
  </si>
  <si>
    <t>0x400B97FF</t>
  </si>
  <si>
    <t>IO_CONFIG</t>
  </si>
  <si>
    <t>PWM_BASE0</t>
  </si>
  <si>
    <t>PWM_PLUS0</t>
  </si>
  <si>
    <t>SPI0</t>
  </si>
  <si>
    <t>I2C0</t>
  </si>
  <si>
    <t>APB2</t>
  </si>
  <si>
    <r>
      <t xml:space="preserve">0x400B9800 </t>
    </r>
    <r>
      <rPr>
        <sz val="10"/>
        <color rgb="FF000000"/>
        <rFont val="NotoSans-Regular"/>
      </rPr>
      <t xml:space="preserve">0x400B9FFF </t>
    </r>
    <r>
      <rPr>
        <sz val="6"/>
        <color rgb="FF000000"/>
        <rFont val="NotoSans-Regular"/>
      </rPr>
      <t>reserve</t>
    </r>
  </si>
  <si>
    <r>
      <t xml:space="preserve">0x400BA000 </t>
    </r>
    <r>
      <rPr>
        <sz val="10"/>
        <color rgb="FF000000"/>
        <rFont val="NotoSans-Regular"/>
      </rPr>
      <t>0x400BA7FF SARADC0</t>
    </r>
  </si>
  <si>
    <t>0x400BA800</t>
  </si>
  <si>
    <t>0x41000000</t>
  </si>
  <si>
    <t>0x41010000</t>
  </si>
  <si>
    <t>0x4103D000</t>
  </si>
  <si>
    <t>0x4103FFCC</t>
  </si>
  <si>
    <t>0x4103FFD4</t>
  </si>
  <si>
    <t>0x4103FFD8</t>
  </si>
  <si>
    <t>0x4103FFDC</t>
  </si>
  <si>
    <t>0x4103FFE0</t>
  </si>
  <si>
    <t>0x4103FFE4</t>
  </si>
  <si>
    <t>0x4103FFE8</t>
  </si>
  <si>
    <t>0x4FFFFFFF</t>
  </si>
  <si>
    <t>0x4100FFFF</t>
  </si>
  <si>
    <t>0x4103CFFF</t>
  </si>
  <si>
    <t>0x4103FFCB</t>
  </si>
  <si>
    <t>0x4103FFCF</t>
  </si>
  <si>
    <t>0x4103FFD7</t>
  </si>
  <si>
    <t>0x4103FFDB</t>
  </si>
  <si>
    <t>0x4103FFDF</t>
  </si>
  <si>
    <t>0x4103FFE3</t>
  </si>
  <si>
    <t>0x4103FFE7</t>
  </si>
  <si>
    <t>0x4103FFF7</t>
  </si>
  <si>
    <t>FLASH DATA</t>
  </si>
  <si>
    <t>IN_Trim_ADC_OFFSET&amp;K</t>
  </si>
  <si>
    <t>Trim_VREF_REALVOL</t>
  </si>
  <si>
    <t>Trim_RC_REALFREQ_DELTA</t>
  </si>
  <si>
    <t>Trim_ADC_OFF_K</t>
  </si>
  <si>
    <t>Trim_RC</t>
  </si>
  <si>
    <t>Trim_POW</t>
  </si>
  <si>
    <t>128-bit UUID</t>
  </si>
  <si>
    <t>Bus</t>
  </si>
  <si>
    <t>Start</t>
  </si>
  <si>
    <t>Finish</t>
  </si>
  <si>
    <t>Module</t>
  </si>
  <si>
    <t>hex start simp</t>
  </si>
  <si>
    <t>hex end simp</t>
  </si>
  <si>
    <t>dec start</t>
  </si>
  <si>
    <t>dec end</t>
  </si>
  <si>
    <t>length</t>
  </si>
  <si>
    <t>Live Storage Instrument</t>
  </si>
  <si>
    <t>0x00010000</t>
  </si>
  <si>
    <t>reserved</t>
  </si>
  <si>
    <t>0x400B9800</t>
  </si>
  <si>
    <t>0x400BA000</t>
  </si>
  <si>
    <t>0x400B9FFF</t>
  </si>
  <si>
    <t>0x400BA7FF</t>
  </si>
  <si>
    <t>SARADC0</t>
  </si>
  <si>
    <t>memory</t>
  </si>
  <si>
    <t>SizeHex</t>
  </si>
  <si>
    <t>SizeDec (Bytes)</t>
  </si>
  <si>
    <t>AHB = AMBA High-performance Bus</t>
  </si>
  <si>
    <t>APB = Advanced Peripheral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</si>
</sst>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_);_(* \(#,##0\);_(* &quot;-&quot;??_);_(@_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NotoSans-Bold"/>
    </font>
    <font>
      <b/>
      <sz val="8"/>
      <color rgb="FF000000"/>
      <name val="NotoSans-Bold"/>
    </font>
    <font>
      <b/>
      <sz val="7"/>
      <color rgb="FF000000"/>
      <name val="NotoSans-Bold"/>
    </font>
    <font>
      <b/>
      <sz val="6"/>
      <color rgb="FF000000"/>
      <name val="NotoSans-Bold"/>
    </font>
    <font>
      <sz val="9"/>
      <color rgb="FF000000"/>
      <name val="NotoSans-Regular"/>
    </font>
    <font>
      <sz val="10"/>
      <color rgb="FF000000"/>
      <name val="NotoSans-Regular"/>
    </font>
    <font>
      <sz val="6"/>
      <color rgb="FF000000"/>
      <name val="NotoSans-Regular"/>
    </font>
    <font>
      <sz val="11"/>
      <color rgb="FF000000"/>
      <name val="NotoSans-Regular"/>
    </font>
    <font>
      <sz val="7"/>
      <color rgb="FF000000"/>
      <name val="NotoSans-Regular"/>
    </font>
    <font>
      <sz val="8"/>
      <color rgb="FF000000"/>
      <name val="NotoSans-Regula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71" fontId="0" fillId="0" borderId="1" xfId="1" applyNumberFormat="1" applyFont="1" applyBorder="1" applyAlignment="1">
      <alignment horizontal="left"/>
    </xf>
    <xf numFmtId="0" fontId="0" fillId="2" borderId="1" xfId="0" applyFill="1" applyBorder="1" applyAlignment="1">
      <alignment horizontal="left"/>
    </xf>
    <xf numFmtId="171" fontId="0" fillId="2" borderId="1" xfId="1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5511-1990-461E-AA3D-85D0E884D6D5}">
  <dimension ref="A1:A253"/>
  <sheetViews>
    <sheetView workbookViewId="0">
      <selection activeCell="A3" sqref="A3"/>
    </sheetView>
  </sheetViews>
  <sheetFormatPr defaultRowHeight="15"/>
  <sheetData>
    <row r="1" spans="1:1">
      <c r="A1" s="1" t="s">
        <v>0</v>
      </c>
    </row>
    <row r="3" spans="1:1">
      <c r="A3" s="2" t="s">
        <v>1</v>
      </c>
    </row>
    <row r="5" spans="1:1">
      <c r="A5" s="3" t="s">
        <v>2</v>
      </c>
    </row>
    <row r="7" spans="1:1">
      <c r="A7" s="2" t="s">
        <v>3</v>
      </c>
    </row>
    <row r="9" spans="1:1">
      <c r="A9" s="3" t="s">
        <v>4</v>
      </c>
    </row>
    <row r="11" spans="1:1">
      <c r="A11" s="3" t="s">
        <v>5</v>
      </c>
    </row>
    <row r="13" spans="1:1">
      <c r="A13" s="2" t="s">
        <v>6</v>
      </c>
    </row>
    <row r="15" spans="1:1">
      <c r="A15" s="3" t="s">
        <v>7</v>
      </c>
    </row>
    <row r="17" spans="1:1">
      <c r="A17" s="4" t="s">
        <v>8</v>
      </c>
    </row>
    <row r="19" spans="1:1">
      <c r="A19" s="5" t="s">
        <v>9</v>
      </c>
    </row>
    <row r="21" spans="1:1">
      <c r="A21" s="5" t="s">
        <v>10</v>
      </c>
    </row>
    <row r="23" spans="1:1">
      <c r="A23" s="2" t="s">
        <v>11</v>
      </c>
    </row>
    <row r="25" spans="1:1">
      <c r="A25" s="2" t="s">
        <v>12</v>
      </c>
    </row>
    <row r="27" spans="1:1">
      <c r="A27" s="2" t="s">
        <v>13</v>
      </c>
    </row>
    <row r="29" spans="1:1">
      <c r="A29" s="2" t="s">
        <v>14</v>
      </c>
    </row>
    <row r="31" spans="1:1">
      <c r="A31" s="2" t="s">
        <v>15</v>
      </c>
    </row>
    <row r="33" spans="1:1">
      <c r="A33" s="2" t="s">
        <v>16</v>
      </c>
    </row>
    <row r="35" spans="1:1">
      <c r="A35" s="2" t="s">
        <v>17</v>
      </c>
    </row>
    <row r="37" spans="1:1">
      <c r="A37" s="3" t="s">
        <v>18</v>
      </c>
    </row>
    <row r="39" spans="1:1">
      <c r="A39" s="2" t="s">
        <v>19</v>
      </c>
    </row>
    <row r="41" spans="1:1">
      <c r="A41" s="3" t="s">
        <v>20</v>
      </c>
    </row>
    <row r="43" spans="1:1">
      <c r="A43" s="3" t="s">
        <v>21</v>
      </c>
    </row>
    <row r="45" spans="1:1">
      <c r="A45" s="2" t="s">
        <v>22</v>
      </c>
    </row>
    <row r="47" spans="1:1">
      <c r="A47" s="3" t="s">
        <v>23</v>
      </c>
    </row>
    <row r="49" spans="1:1">
      <c r="A49" s="4" t="s">
        <v>8</v>
      </c>
    </row>
    <row r="51" spans="1:1">
      <c r="A51" s="3" t="s">
        <v>24</v>
      </c>
    </row>
    <row r="53" spans="1:1">
      <c r="A53" s="5" t="s">
        <v>25</v>
      </c>
    </row>
    <row r="55" spans="1:1">
      <c r="A55" s="4" t="s">
        <v>8</v>
      </c>
    </row>
    <row r="57" spans="1:1">
      <c r="A57" s="3" t="s">
        <v>26</v>
      </c>
    </row>
    <row r="59" spans="1:1">
      <c r="A59" s="4" t="s">
        <v>8</v>
      </c>
    </row>
    <row r="61" spans="1:1">
      <c r="A61" s="5" t="s">
        <v>27</v>
      </c>
    </row>
    <row r="63" spans="1:1">
      <c r="A63" s="2" t="s">
        <v>28</v>
      </c>
    </row>
    <row r="65" spans="1:1">
      <c r="A65" s="2" t="s">
        <v>29</v>
      </c>
    </row>
    <row r="67" spans="1:1">
      <c r="A67" s="2" t="s">
        <v>30</v>
      </c>
    </row>
    <row r="69" spans="1:1">
      <c r="A69" s="2" t="s">
        <v>31</v>
      </c>
    </row>
    <row r="71" spans="1:1">
      <c r="A71" s="2" t="s">
        <v>32</v>
      </c>
    </row>
    <row r="73" spans="1:1">
      <c r="A73" s="2" t="s">
        <v>33</v>
      </c>
    </row>
    <row r="75" spans="1:1">
      <c r="A75" s="2" t="s">
        <v>34</v>
      </c>
    </row>
    <row r="77" spans="1:1">
      <c r="A77" s="2" t="s">
        <v>35</v>
      </c>
    </row>
    <row r="79" spans="1:1">
      <c r="A79" s="2" t="s">
        <v>36</v>
      </c>
    </row>
    <row r="81" spans="1:1">
      <c r="A81" s="2" t="s">
        <v>37</v>
      </c>
    </row>
    <row r="83" spans="1:1">
      <c r="A83" s="2" t="s">
        <v>38</v>
      </c>
    </row>
    <row r="85" spans="1:1">
      <c r="A85" s="3" t="s">
        <v>39</v>
      </c>
    </row>
    <row r="87" spans="1:1">
      <c r="A87" s="2" t="s">
        <v>40</v>
      </c>
    </row>
    <row r="89" spans="1:1">
      <c r="A89" s="3" t="s">
        <v>41</v>
      </c>
    </row>
    <row r="91" spans="1:1">
      <c r="A91" s="3" t="s">
        <v>42</v>
      </c>
    </row>
    <row r="93" spans="1:1">
      <c r="A93" s="3" t="s">
        <v>43</v>
      </c>
    </row>
    <row r="95" spans="1:1">
      <c r="A95" s="3" t="s">
        <v>44</v>
      </c>
    </row>
    <row r="97" spans="1:1">
      <c r="A97" s="3" t="s">
        <v>45</v>
      </c>
    </row>
    <row r="99" spans="1:1">
      <c r="A99" s="3" t="s">
        <v>46</v>
      </c>
    </row>
    <row r="101" spans="1:1">
      <c r="A101" s="3" t="s">
        <v>47</v>
      </c>
    </row>
    <row r="103" spans="1:1">
      <c r="A103" s="3" t="s">
        <v>48</v>
      </c>
    </row>
    <row r="105" spans="1:1">
      <c r="A105" s="4" t="s">
        <v>8</v>
      </c>
    </row>
    <row r="107" spans="1:1">
      <c r="A107" s="3" t="s">
        <v>49</v>
      </c>
    </row>
    <row r="109" spans="1:1">
      <c r="A109" s="4" t="s">
        <v>8</v>
      </c>
    </row>
    <row r="111" spans="1:1">
      <c r="A111" s="5" t="s">
        <v>50</v>
      </c>
    </row>
    <row r="113" spans="1:1">
      <c r="A113" s="4" t="s">
        <v>8</v>
      </c>
    </row>
    <row r="115" spans="1:1">
      <c r="A115" s="3" t="s">
        <v>51</v>
      </c>
    </row>
    <row r="117" spans="1:1">
      <c r="A117" s="4" t="s">
        <v>8</v>
      </c>
    </row>
    <row r="119" spans="1:1">
      <c r="A119" s="3" t="s">
        <v>52</v>
      </c>
    </row>
    <row r="121" spans="1:1">
      <c r="A121" s="4" t="s">
        <v>8</v>
      </c>
    </row>
    <row r="123" spans="1:1">
      <c r="A123" s="5" t="s">
        <v>53</v>
      </c>
    </row>
    <row r="125" spans="1:1">
      <c r="A125" s="6" t="s">
        <v>54</v>
      </c>
    </row>
    <row r="127" spans="1:1">
      <c r="A127" s="2" t="s">
        <v>55</v>
      </c>
    </row>
    <row r="129" spans="1:1">
      <c r="A129" s="2" t="s">
        <v>56</v>
      </c>
    </row>
    <row r="131" spans="1:1">
      <c r="A131" s="2" t="s">
        <v>57</v>
      </c>
    </row>
    <row r="133" spans="1:1">
      <c r="A133" s="2" t="s">
        <v>58</v>
      </c>
    </row>
    <row r="135" spans="1:1">
      <c r="A135" s="2" t="s">
        <v>59</v>
      </c>
    </row>
    <row r="137" spans="1:1">
      <c r="A137" s="2" t="s">
        <v>60</v>
      </c>
    </row>
    <row r="139" spans="1:1">
      <c r="A139" s="2" t="s">
        <v>61</v>
      </c>
    </row>
    <row r="141" spans="1:1">
      <c r="A141" s="2" t="s">
        <v>62</v>
      </c>
    </row>
    <row r="143" spans="1:1">
      <c r="A143" s="2" t="s">
        <v>63</v>
      </c>
    </row>
    <row r="145" spans="1:1">
      <c r="A145" s="2" t="s">
        <v>64</v>
      </c>
    </row>
    <row r="147" spans="1:1">
      <c r="A147" s="3" t="s">
        <v>65</v>
      </c>
    </row>
    <row r="149" spans="1:1">
      <c r="A149" s="3" t="s">
        <v>66</v>
      </c>
    </row>
    <row r="151" spans="1:1">
      <c r="A151" s="3" t="s">
        <v>67</v>
      </c>
    </row>
    <row r="153" spans="1:1">
      <c r="A153" s="3" t="s">
        <v>68</v>
      </c>
    </row>
    <row r="155" spans="1:1">
      <c r="A155" s="3" t="s">
        <v>69</v>
      </c>
    </row>
    <row r="157" spans="1:1">
      <c r="A157" s="3" t="s">
        <v>70</v>
      </c>
    </row>
    <row r="159" spans="1:1">
      <c r="A159" s="3" t="s">
        <v>71</v>
      </c>
    </row>
    <row r="161" spans="1:1">
      <c r="A161" s="3" t="s">
        <v>72</v>
      </c>
    </row>
    <row r="163" spans="1:1">
      <c r="A163" s="3" t="s">
        <v>73</v>
      </c>
    </row>
    <row r="165" spans="1:1">
      <c r="A165" s="3" t="s">
        <v>74</v>
      </c>
    </row>
    <row r="167" spans="1:1">
      <c r="A167" s="4" t="s">
        <v>8</v>
      </c>
    </row>
    <row r="169" spans="1:1">
      <c r="A169" s="3" t="s">
        <v>75</v>
      </c>
    </row>
    <row r="171" spans="1:1">
      <c r="A171" s="4" t="s">
        <v>8</v>
      </c>
    </row>
    <row r="173" spans="1:1">
      <c r="A173" s="3" t="s">
        <v>76</v>
      </c>
    </row>
    <row r="175" spans="1:1">
      <c r="A175" s="4" t="s">
        <v>8</v>
      </c>
    </row>
    <row r="177" spans="1:1">
      <c r="A177" s="5" t="s">
        <v>77</v>
      </c>
    </row>
    <row r="179" spans="1:1">
      <c r="A179" s="4" t="s">
        <v>8</v>
      </c>
    </row>
    <row r="181" spans="1:1">
      <c r="A181" s="5" t="s">
        <v>78</v>
      </c>
    </row>
    <row r="183" spans="1:1">
      <c r="A183" s="5" t="s">
        <v>79</v>
      </c>
    </row>
    <row r="185" spans="1:1">
      <c r="A185" s="2" t="s">
        <v>80</v>
      </c>
    </row>
    <row r="187" spans="1:1">
      <c r="A187" s="2" t="s">
        <v>81</v>
      </c>
    </row>
    <row r="189" spans="1:1">
      <c r="A189" s="2" t="s">
        <v>82</v>
      </c>
    </row>
    <row r="191" spans="1:1">
      <c r="A191" s="2" t="s">
        <v>83</v>
      </c>
    </row>
    <row r="193" spans="1:1">
      <c r="A193" s="2" t="s">
        <v>84</v>
      </c>
    </row>
    <row r="195" spans="1:1">
      <c r="A195" s="2" t="s">
        <v>85</v>
      </c>
    </row>
    <row r="197" spans="1:1">
      <c r="A197" s="3" t="s">
        <v>86</v>
      </c>
    </row>
    <row r="199" spans="1:1">
      <c r="A199" s="3" t="s">
        <v>87</v>
      </c>
    </row>
    <row r="201" spans="1:1">
      <c r="A201" s="3" t="s">
        <v>88</v>
      </c>
    </row>
    <row r="203" spans="1:1">
      <c r="A203" s="3" t="s">
        <v>89</v>
      </c>
    </row>
    <row r="205" spans="1:1">
      <c r="A205" s="3" t="s">
        <v>90</v>
      </c>
    </row>
    <row r="207" spans="1:1">
      <c r="A207" s="3" t="s">
        <v>91</v>
      </c>
    </row>
    <row r="209" spans="1:1">
      <c r="A209" s="3" t="s">
        <v>92</v>
      </c>
    </row>
    <row r="211" spans="1:1">
      <c r="A211" s="3" t="s">
        <v>93</v>
      </c>
    </row>
    <row r="213" spans="1:1">
      <c r="A213" s="3" t="s">
        <v>94</v>
      </c>
    </row>
    <row r="215" spans="1:1">
      <c r="A215" s="3" t="s">
        <v>95</v>
      </c>
    </row>
    <row r="217" spans="1:1">
      <c r="A217" s="3" t="s">
        <v>96</v>
      </c>
    </row>
    <row r="219" spans="1:1">
      <c r="A219" s="3" t="s">
        <v>97</v>
      </c>
    </row>
    <row r="221" spans="1:1">
      <c r="A221" s="3" t="s">
        <v>98</v>
      </c>
    </row>
    <row r="223" spans="1:1">
      <c r="A223" s="3" t="s">
        <v>99</v>
      </c>
    </row>
    <row r="225" spans="1:1">
      <c r="A225" s="3" t="s">
        <v>100</v>
      </c>
    </row>
    <row r="227" spans="1:1">
      <c r="A227" s="3" t="s">
        <v>101</v>
      </c>
    </row>
    <row r="229" spans="1:1">
      <c r="A229" s="3" t="s">
        <v>102</v>
      </c>
    </row>
    <row r="231" spans="1:1">
      <c r="A231" s="3" t="s">
        <v>103</v>
      </c>
    </row>
    <row r="233" spans="1:1">
      <c r="A233" s="4" t="s">
        <v>8</v>
      </c>
    </row>
    <row r="235" spans="1:1">
      <c r="A235" s="3" t="s">
        <v>104</v>
      </c>
    </row>
    <row r="237" spans="1:1">
      <c r="A237" s="3" t="s">
        <v>104</v>
      </c>
    </row>
    <row r="239" spans="1:1">
      <c r="A239" s="4" t="s">
        <v>8</v>
      </c>
    </row>
    <row r="241" spans="1:1">
      <c r="A241" s="3" t="s">
        <v>105</v>
      </c>
    </row>
    <row r="243" spans="1:1">
      <c r="A243" s="3" t="s">
        <v>106</v>
      </c>
    </row>
    <row r="245" spans="1:1">
      <c r="A245" s="3" t="s">
        <v>107</v>
      </c>
    </row>
    <row r="247" spans="1:1">
      <c r="A247" s="3" t="s">
        <v>108</v>
      </c>
    </row>
    <row r="249" spans="1:1">
      <c r="A249" s="3" t="s">
        <v>109</v>
      </c>
    </row>
    <row r="251" spans="1:1">
      <c r="A251" s="3" t="s">
        <v>110</v>
      </c>
    </row>
    <row r="253" spans="1:1">
      <c r="A253" s="2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BCE1-F45F-444C-BE32-9B6977EC6808}">
  <dimension ref="A1:M61"/>
  <sheetViews>
    <sheetView tabSelected="1" workbookViewId="0">
      <selection activeCell="G46" sqref="G46"/>
    </sheetView>
  </sheetViews>
  <sheetFormatPr defaultRowHeight="15"/>
  <cols>
    <col min="1" max="1" width="13.5703125" customWidth="1"/>
    <col min="2" max="2" width="14.140625" style="7" customWidth="1"/>
    <col min="3" max="3" width="13.5703125" style="7" customWidth="1"/>
    <col min="4" max="4" width="10.7109375" style="7" customWidth="1"/>
    <col min="5" max="5" width="15.28515625" style="14" bestFit="1" customWidth="1"/>
    <col min="6" max="6" width="24.28515625" style="7" bestFit="1" customWidth="1"/>
    <col min="9" max="9" width="13.42578125" bestFit="1" customWidth="1"/>
    <col min="10" max="10" width="12.5703125" bestFit="1" customWidth="1"/>
    <col min="11" max="12" width="11" bestFit="1" customWidth="1"/>
    <col min="13" max="13" width="10" bestFit="1" customWidth="1"/>
  </cols>
  <sheetData>
    <row r="1" spans="1:13">
      <c r="A1" s="8" t="s">
        <v>112</v>
      </c>
      <c r="B1" s="9" t="s">
        <v>113</v>
      </c>
      <c r="C1" s="9" t="s">
        <v>114</v>
      </c>
      <c r="D1" s="9" t="s">
        <v>130</v>
      </c>
      <c r="E1" s="13" t="s">
        <v>131</v>
      </c>
      <c r="F1" s="9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</row>
    <row r="2" spans="1:13">
      <c r="A2" s="17" t="s">
        <v>121</v>
      </c>
      <c r="B2" s="9" t="s">
        <v>1</v>
      </c>
      <c r="C2" s="9" t="s">
        <v>4</v>
      </c>
      <c r="D2" s="15" t="str">
        <f>DEC2HEX(M2)</f>
        <v>FFFF</v>
      </c>
      <c r="E2" s="10">
        <f>M2</f>
        <v>65535</v>
      </c>
      <c r="F2" s="9" t="s">
        <v>7</v>
      </c>
      <c r="I2" t="str">
        <f>RIGHT(B2,LEN(B2)-2)</f>
        <v>00000000</v>
      </c>
      <c r="J2" t="str">
        <f>RIGHT(C2,LEN(C2)-2)</f>
        <v>0000FFFF</v>
      </c>
      <c r="K2">
        <f>HEX2DEC(I2)</f>
        <v>0</v>
      </c>
      <c r="L2">
        <f>HEX2DEC(J2)</f>
        <v>65535</v>
      </c>
      <c r="M2">
        <f>L2-K2</f>
        <v>65535</v>
      </c>
    </row>
    <row r="3" spans="1:13">
      <c r="A3" s="18"/>
      <c r="B3" s="11" t="s">
        <v>122</v>
      </c>
      <c r="C3" s="11" t="s">
        <v>5</v>
      </c>
      <c r="D3" s="16" t="str">
        <f>DEC2HEX(M3)</f>
        <v>1FFEFFFF</v>
      </c>
      <c r="E3" s="12">
        <f>M3</f>
        <v>536805375</v>
      </c>
      <c r="F3" s="16" t="s">
        <v>123</v>
      </c>
      <c r="I3" t="str">
        <f t="shared" ref="I3:I30" si="0">RIGHT(B3,LEN(B3)-2)</f>
        <v>00010000</v>
      </c>
      <c r="J3" t="str">
        <f t="shared" ref="J3:J30" si="1">RIGHT(C3,LEN(C3)-2)</f>
        <v>1FFFFFFF</v>
      </c>
      <c r="K3">
        <f t="shared" ref="K3:K30" si="2">HEX2DEC(I3)</f>
        <v>65536</v>
      </c>
      <c r="L3">
        <f t="shared" ref="L3:L30" si="3">HEX2DEC(J3)</f>
        <v>536870911</v>
      </c>
      <c r="M3">
        <f t="shared" ref="M3:M30" si="4">L3-K3</f>
        <v>536805375</v>
      </c>
    </row>
    <row r="4" spans="1:13">
      <c r="A4" s="19"/>
      <c r="B4" s="9" t="s">
        <v>3</v>
      </c>
      <c r="C4" s="9" t="s">
        <v>6</v>
      </c>
      <c r="D4" s="15" t="str">
        <f>DEC2HEX(M4)</f>
        <v>7FF</v>
      </c>
      <c r="E4" s="10">
        <f>M4</f>
        <v>2047</v>
      </c>
      <c r="F4" s="9" t="s">
        <v>9</v>
      </c>
      <c r="I4" t="str">
        <f t="shared" si="0"/>
        <v>20000000</v>
      </c>
      <c r="J4" t="str">
        <f t="shared" si="1"/>
        <v>200007FF</v>
      </c>
      <c r="K4">
        <f t="shared" si="2"/>
        <v>536870912</v>
      </c>
      <c r="L4">
        <f t="shared" si="3"/>
        <v>536872959</v>
      </c>
      <c r="M4">
        <f t="shared" si="4"/>
        <v>2047</v>
      </c>
    </row>
    <row r="5" spans="1:13">
      <c r="A5" s="11"/>
      <c r="B5" s="11" t="s">
        <v>12</v>
      </c>
      <c r="C5" s="11" t="s">
        <v>18</v>
      </c>
      <c r="D5" s="16" t="str">
        <f>DEC2HEX(M5)</f>
        <v>1FFFF7FF</v>
      </c>
      <c r="E5" s="12">
        <f>M5</f>
        <v>536868863</v>
      </c>
      <c r="F5" s="16" t="s">
        <v>123</v>
      </c>
      <c r="I5" t="str">
        <f t="shared" si="0"/>
        <v>20000800</v>
      </c>
      <c r="J5" t="str">
        <f t="shared" si="1"/>
        <v>3FFFFFFF</v>
      </c>
      <c r="K5">
        <f t="shared" si="2"/>
        <v>536872960</v>
      </c>
      <c r="L5">
        <f t="shared" si="3"/>
        <v>1073741823</v>
      </c>
      <c r="M5">
        <f t="shared" si="4"/>
        <v>536868863</v>
      </c>
    </row>
    <row r="6" spans="1:13">
      <c r="A6" s="17" t="s">
        <v>27</v>
      </c>
      <c r="B6" s="9" t="s">
        <v>13</v>
      </c>
      <c r="C6" s="9" t="s">
        <v>19</v>
      </c>
      <c r="D6" s="15" t="str">
        <f>DEC2HEX(M6)</f>
        <v>7FF</v>
      </c>
      <c r="E6" s="10">
        <f>M6</f>
        <v>2047</v>
      </c>
      <c r="F6" s="9" t="s">
        <v>24</v>
      </c>
      <c r="I6" t="str">
        <f t="shared" si="0"/>
        <v>40000000</v>
      </c>
      <c r="J6" t="str">
        <f t="shared" si="1"/>
        <v>400007FF</v>
      </c>
      <c r="K6">
        <f t="shared" si="2"/>
        <v>1073741824</v>
      </c>
      <c r="L6">
        <f t="shared" si="3"/>
        <v>1073743871</v>
      </c>
      <c r="M6">
        <f t="shared" si="4"/>
        <v>2047</v>
      </c>
    </row>
    <row r="7" spans="1:13">
      <c r="A7" s="18"/>
      <c r="B7" s="9" t="s">
        <v>14</v>
      </c>
      <c r="C7" s="9" t="s">
        <v>20</v>
      </c>
      <c r="D7" s="15" t="str">
        <f t="shared" ref="D7:D42" si="5">DEC2HEX(M7)</f>
        <v>7FF</v>
      </c>
      <c r="E7" s="10">
        <f t="shared" ref="E7:E42" si="6">M7</f>
        <v>2047</v>
      </c>
      <c r="F7" s="9" t="s">
        <v>25</v>
      </c>
      <c r="I7" t="str">
        <f t="shared" si="0"/>
        <v>40000800</v>
      </c>
      <c r="J7" t="str">
        <f t="shared" si="1"/>
        <v>40000FFF</v>
      </c>
      <c r="K7">
        <f t="shared" si="2"/>
        <v>1073743872</v>
      </c>
      <c r="L7">
        <f t="shared" si="3"/>
        <v>1073745919</v>
      </c>
      <c r="M7">
        <f t="shared" si="4"/>
        <v>2047</v>
      </c>
    </row>
    <row r="8" spans="1:13">
      <c r="A8" s="18"/>
      <c r="B8" s="11" t="s">
        <v>15</v>
      </c>
      <c r="C8" s="11" t="s">
        <v>21</v>
      </c>
      <c r="D8" s="16" t="str">
        <f t="shared" si="5"/>
        <v>FFF</v>
      </c>
      <c r="E8" s="12">
        <f t="shared" si="6"/>
        <v>4095</v>
      </c>
      <c r="F8" s="16" t="s">
        <v>123</v>
      </c>
      <c r="I8" t="str">
        <f t="shared" si="0"/>
        <v>40001000</v>
      </c>
      <c r="J8" t="str">
        <f t="shared" si="1"/>
        <v>40001FFF</v>
      </c>
      <c r="K8">
        <f t="shared" si="2"/>
        <v>1073745920</v>
      </c>
      <c r="L8">
        <f t="shared" si="3"/>
        <v>1073750015</v>
      </c>
      <c r="M8">
        <f t="shared" si="4"/>
        <v>4095</v>
      </c>
    </row>
    <row r="9" spans="1:13">
      <c r="A9" s="19"/>
      <c r="B9" s="9" t="s">
        <v>16</v>
      </c>
      <c r="C9" s="9" t="s">
        <v>22</v>
      </c>
      <c r="D9" s="15" t="str">
        <f t="shared" si="5"/>
        <v>7FF</v>
      </c>
      <c r="E9" s="10">
        <f t="shared" si="6"/>
        <v>2047</v>
      </c>
      <c r="F9" s="9" t="s">
        <v>26</v>
      </c>
      <c r="I9" t="str">
        <f t="shared" si="0"/>
        <v>40002000</v>
      </c>
      <c r="J9" t="str">
        <f t="shared" si="1"/>
        <v>400027FF</v>
      </c>
      <c r="K9">
        <f t="shared" si="2"/>
        <v>1073750016</v>
      </c>
      <c r="L9">
        <f t="shared" si="3"/>
        <v>1073752063</v>
      </c>
      <c r="M9">
        <f t="shared" si="4"/>
        <v>2047</v>
      </c>
    </row>
    <row r="10" spans="1:13">
      <c r="A10" s="11"/>
      <c r="B10" s="11" t="s">
        <v>17</v>
      </c>
      <c r="C10" s="11" t="s">
        <v>23</v>
      </c>
      <c r="D10" s="16" t="str">
        <f t="shared" si="5"/>
        <v>5D7FF</v>
      </c>
      <c r="E10" s="12">
        <f t="shared" si="6"/>
        <v>382975</v>
      </c>
      <c r="F10" s="16" t="s">
        <v>123</v>
      </c>
      <c r="I10" t="str">
        <f t="shared" si="0"/>
        <v>40002800</v>
      </c>
      <c r="J10" t="str">
        <f t="shared" si="1"/>
        <v>4005FFFF</v>
      </c>
      <c r="K10">
        <f t="shared" si="2"/>
        <v>1073752064</v>
      </c>
      <c r="L10">
        <f t="shared" si="3"/>
        <v>1074135039</v>
      </c>
      <c r="M10">
        <f t="shared" si="4"/>
        <v>382975</v>
      </c>
    </row>
    <row r="11" spans="1:13">
      <c r="A11" s="17" t="s">
        <v>53</v>
      </c>
      <c r="B11" s="9" t="s">
        <v>28</v>
      </c>
      <c r="C11" s="9" t="s">
        <v>38</v>
      </c>
      <c r="D11" s="15" t="str">
        <f t="shared" si="5"/>
        <v>7FF</v>
      </c>
      <c r="E11" s="10">
        <f t="shared" si="6"/>
        <v>2047</v>
      </c>
      <c r="F11" s="9" t="s">
        <v>48</v>
      </c>
      <c r="I11" t="str">
        <f t="shared" si="0"/>
        <v>40060000</v>
      </c>
      <c r="J11" t="str">
        <f t="shared" si="1"/>
        <v>400607FF</v>
      </c>
      <c r="K11">
        <f t="shared" si="2"/>
        <v>1074135040</v>
      </c>
      <c r="L11">
        <f t="shared" si="3"/>
        <v>1074137087</v>
      </c>
      <c r="M11">
        <f t="shared" si="4"/>
        <v>2047</v>
      </c>
    </row>
    <row r="12" spans="1:13">
      <c r="A12" s="18"/>
      <c r="B12" s="11" t="s">
        <v>29</v>
      </c>
      <c r="C12" s="11" t="s">
        <v>39</v>
      </c>
      <c r="D12" s="16" t="str">
        <f t="shared" si="5"/>
        <v>67FF</v>
      </c>
      <c r="E12" s="12">
        <f t="shared" si="6"/>
        <v>26623</v>
      </c>
      <c r="F12" s="16" t="s">
        <v>123</v>
      </c>
      <c r="I12" t="str">
        <f t="shared" si="0"/>
        <v>40060800</v>
      </c>
      <c r="J12" t="str">
        <f t="shared" si="1"/>
        <v>40066FFF</v>
      </c>
      <c r="K12">
        <f t="shared" si="2"/>
        <v>1074137088</v>
      </c>
      <c r="L12">
        <f t="shared" si="3"/>
        <v>1074163711</v>
      </c>
      <c r="M12">
        <f t="shared" si="4"/>
        <v>26623</v>
      </c>
    </row>
    <row r="13" spans="1:13">
      <c r="A13" s="18"/>
      <c r="B13" s="9" t="s">
        <v>30</v>
      </c>
      <c r="C13" s="9" t="s">
        <v>40</v>
      </c>
      <c r="D13" s="15" t="str">
        <f t="shared" si="5"/>
        <v>7FF</v>
      </c>
      <c r="E13" s="10">
        <f t="shared" si="6"/>
        <v>2047</v>
      </c>
      <c r="F13" s="9" t="s">
        <v>49</v>
      </c>
      <c r="I13" t="str">
        <f t="shared" si="0"/>
        <v>40067000</v>
      </c>
      <c r="J13" t="str">
        <f t="shared" si="1"/>
        <v>400677FF</v>
      </c>
      <c r="K13">
        <f t="shared" si="2"/>
        <v>1074163712</v>
      </c>
      <c r="L13">
        <f t="shared" si="3"/>
        <v>1074165759</v>
      </c>
      <c r="M13">
        <f t="shared" si="4"/>
        <v>2047</v>
      </c>
    </row>
    <row r="14" spans="1:13">
      <c r="A14" s="18"/>
      <c r="B14" s="11" t="s">
        <v>31</v>
      </c>
      <c r="C14" s="11" t="s">
        <v>41</v>
      </c>
      <c r="D14" s="16" t="str">
        <f t="shared" si="5"/>
        <v>27FF</v>
      </c>
      <c r="E14" s="12">
        <f t="shared" si="6"/>
        <v>10239</v>
      </c>
      <c r="F14" s="16" t="s">
        <v>123</v>
      </c>
      <c r="I14" t="str">
        <f t="shared" si="0"/>
        <v>40067800</v>
      </c>
      <c r="J14" t="str">
        <f t="shared" si="1"/>
        <v>40069FFF</v>
      </c>
      <c r="K14">
        <f t="shared" si="2"/>
        <v>1074165760</v>
      </c>
      <c r="L14">
        <f t="shared" si="3"/>
        <v>1074175999</v>
      </c>
      <c r="M14">
        <f t="shared" si="4"/>
        <v>10239</v>
      </c>
    </row>
    <row r="15" spans="1:13">
      <c r="A15" s="18"/>
      <c r="B15" s="9" t="s">
        <v>32</v>
      </c>
      <c r="C15" s="9" t="s">
        <v>42</v>
      </c>
      <c r="D15" s="15" t="str">
        <f t="shared" si="5"/>
        <v>7FF</v>
      </c>
      <c r="E15" s="10">
        <f t="shared" si="6"/>
        <v>2047</v>
      </c>
      <c r="F15" s="9" t="s">
        <v>50</v>
      </c>
      <c r="I15" t="str">
        <f t="shared" si="0"/>
        <v>4006A000</v>
      </c>
      <c r="J15" t="str">
        <f t="shared" si="1"/>
        <v>4006A7FF</v>
      </c>
      <c r="K15">
        <f t="shared" si="2"/>
        <v>1074176000</v>
      </c>
      <c r="L15">
        <f t="shared" si="3"/>
        <v>1074178047</v>
      </c>
      <c r="M15">
        <f t="shared" si="4"/>
        <v>2047</v>
      </c>
    </row>
    <row r="16" spans="1:13">
      <c r="A16" s="18"/>
      <c r="B16" s="11" t="s">
        <v>33</v>
      </c>
      <c r="C16" s="11" t="s">
        <v>43</v>
      </c>
      <c r="D16" s="16" t="str">
        <f t="shared" si="5"/>
        <v>7FF</v>
      </c>
      <c r="E16" s="12">
        <f t="shared" si="6"/>
        <v>2047</v>
      </c>
      <c r="F16" s="16" t="s">
        <v>123</v>
      </c>
      <c r="I16" t="str">
        <f t="shared" si="0"/>
        <v>4006A800</v>
      </c>
      <c r="J16" t="str">
        <f t="shared" si="1"/>
        <v>4006AFFF</v>
      </c>
      <c r="K16">
        <f t="shared" si="2"/>
        <v>1074178048</v>
      </c>
      <c r="L16">
        <f t="shared" si="3"/>
        <v>1074180095</v>
      </c>
      <c r="M16">
        <f t="shared" si="4"/>
        <v>2047</v>
      </c>
    </row>
    <row r="17" spans="1:13">
      <c r="A17" s="18"/>
      <c r="B17" s="9" t="s">
        <v>34</v>
      </c>
      <c r="C17" s="9" t="s">
        <v>44</v>
      </c>
      <c r="D17" s="15" t="str">
        <f t="shared" si="5"/>
        <v>7FF</v>
      </c>
      <c r="E17" s="10">
        <f t="shared" si="6"/>
        <v>2047</v>
      </c>
      <c r="F17" s="9" t="s">
        <v>51</v>
      </c>
      <c r="I17" t="str">
        <f t="shared" si="0"/>
        <v>4006B000</v>
      </c>
      <c r="J17" t="str">
        <f t="shared" si="1"/>
        <v>4006B7FF</v>
      </c>
      <c r="K17">
        <f t="shared" si="2"/>
        <v>1074180096</v>
      </c>
      <c r="L17">
        <f t="shared" si="3"/>
        <v>1074182143</v>
      </c>
      <c r="M17">
        <f t="shared" si="4"/>
        <v>2047</v>
      </c>
    </row>
    <row r="18" spans="1:13">
      <c r="A18" s="18"/>
      <c r="B18" s="11" t="s">
        <v>35</v>
      </c>
      <c r="C18" s="11" t="s">
        <v>45</v>
      </c>
      <c r="D18" s="16" t="str">
        <f t="shared" si="5"/>
        <v>37FF</v>
      </c>
      <c r="E18" s="12">
        <f t="shared" si="6"/>
        <v>14335</v>
      </c>
      <c r="F18" s="16" t="s">
        <v>123</v>
      </c>
      <c r="I18" t="str">
        <f t="shared" si="0"/>
        <v>4006B800</v>
      </c>
      <c r="J18" t="str">
        <f t="shared" si="1"/>
        <v>4006EFFF</v>
      </c>
      <c r="K18">
        <f t="shared" si="2"/>
        <v>1074182144</v>
      </c>
      <c r="L18">
        <f t="shared" si="3"/>
        <v>1074196479</v>
      </c>
      <c r="M18">
        <f t="shared" si="4"/>
        <v>14335</v>
      </c>
    </row>
    <row r="19" spans="1:13">
      <c r="A19" s="19"/>
      <c r="B19" s="9" t="s">
        <v>36</v>
      </c>
      <c r="C19" s="9" t="s">
        <v>46</v>
      </c>
      <c r="D19" s="15" t="str">
        <f t="shared" si="5"/>
        <v>7FF</v>
      </c>
      <c r="E19" s="10">
        <f t="shared" si="6"/>
        <v>2047</v>
      </c>
      <c r="F19" s="9" t="s">
        <v>52</v>
      </c>
      <c r="I19" t="str">
        <f t="shared" si="0"/>
        <v>4006F000</v>
      </c>
      <c r="J19" t="str">
        <f t="shared" si="1"/>
        <v>4006F7FF</v>
      </c>
      <c r="K19">
        <f t="shared" si="2"/>
        <v>1074196480</v>
      </c>
      <c r="L19">
        <f t="shared" si="3"/>
        <v>1074198527</v>
      </c>
      <c r="M19">
        <f t="shared" si="4"/>
        <v>2047</v>
      </c>
    </row>
    <row r="20" spans="1:13">
      <c r="A20" s="11"/>
      <c r="B20" s="11" t="s">
        <v>37</v>
      </c>
      <c r="C20" s="11" t="s">
        <v>47</v>
      </c>
      <c r="D20" s="16" t="str">
        <f t="shared" si="5"/>
        <v>407FF</v>
      </c>
      <c r="E20" s="12">
        <f t="shared" si="6"/>
        <v>264191</v>
      </c>
      <c r="F20" s="16" t="s">
        <v>123</v>
      </c>
      <c r="I20" t="str">
        <f t="shared" si="0"/>
        <v>4006F800</v>
      </c>
      <c r="J20" t="str">
        <f t="shared" si="1"/>
        <v>400AFFFF</v>
      </c>
      <c r="K20">
        <f t="shared" si="2"/>
        <v>1074198528</v>
      </c>
      <c r="L20">
        <f t="shared" si="3"/>
        <v>1074462719</v>
      </c>
      <c r="M20">
        <f t="shared" si="4"/>
        <v>264191</v>
      </c>
    </row>
    <row r="21" spans="1:13">
      <c r="A21" s="17" t="s">
        <v>79</v>
      </c>
      <c r="B21" s="9" t="s">
        <v>56</v>
      </c>
      <c r="C21" s="9" t="s">
        <v>65</v>
      </c>
      <c r="D21" s="15" t="str">
        <f t="shared" si="5"/>
        <v>7FF</v>
      </c>
      <c r="E21" s="10">
        <f t="shared" si="6"/>
        <v>2047</v>
      </c>
      <c r="F21" s="9" t="s">
        <v>74</v>
      </c>
      <c r="I21" t="str">
        <f t="shared" si="0"/>
        <v>400B0000</v>
      </c>
      <c r="J21" t="str">
        <f t="shared" si="1"/>
        <v>400B07FF</v>
      </c>
      <c r="K21">
        <f t="shared" si="2"/>
        <v>1074462720</v>
      </c>
      <c r="L21">
        <f t="shared" si="3"/>
        <v>1074464767</v>
      </c>
      <c r="M21">
        <f t="shared" si="4"/>
        <v>2047</v>
      </c>
    </row>
    <row r="22" spans="1:13">
      <c r="A22" s="18"/>
      <c r="B22" s="11" t="s">
        <v>57</v>
      </c>
      <c r="C22" s="11" t="s">
        <v>66</v>
      </c>
      <c r="D22" s="16" t="str">
        <f t="shared" si="5"/>
        <v>7FF</v>
      </c>
      <c r="E22" s="12">
        <f t="shared" si="6"/>
        <v>2047</v>
      </c>
      <c r="F22" s="16" t="s">
        <v>123</v>
      </c>
      <c r="I22" t="str">
        <f t="shared" si="0"/>
        <v>400B0800</v>
      </c>
      <c r="J22" t="str">
        <f t="shared" si="1"/>
        <v>400B0FFF</v>
      </c>
      <c r="K22">
        <f t="shared" si="2"/>
        <v>1074464768</v>
      </c>
      <c r="L22">
        <f t="shared" si="3"/>
        <v>1074466815</v>
      </c>
      <c r="M22">
        <f t="shared" si="4"/>
        <v>2047</v>
      </c>
    </row>
    <row r="23" spans="1:13">
      <c r="A23" s="18"/>
      <c r="B23" s="9" t="s">
        <v>58</v>
      </c>
      <c r="C23" s="9" t="s">
        <v>67</v>
      </c>
      <c r="D23" s="15" t="str">
        <f t="shared" si="5"/>
        <v>7FF</v>
      </c>
      <c r="E23" s="10">
        <f t="shared" si="6"/>
        <v>2047</v>
      </c>
      <c r="F23" s="9" t="s">
        <v>75</v>
      </c>
      <c r="I23" t="str">
        <f t="shared" si="0"/>
        <v>400B1000</v>
      </c>
      <c r="J23" t="str">
        <f t="shared" si="1"/>
        <v>400B17FF</v>
      </c>
      <c r="K23">
        <f t="shared" si="2"/>
        <v>1074466816</v>
      </c>
      <c r="L23">
        <f t="shared" si="3"/>
        <v>1074468863</v>
      </c>
      <c r="M23">
        <f t="shared" si="4"/>
        <v>2047</v>
      </c>
    </row>
    <row r="24" spans="1:13">
      <c r="A24" s="18"/>
      <c r="B24" s="11" t="s">
        <v>59</v>
      </c>
      <c r="C24" s="11" t="s">
        <v>68</v>
      </c>
      <c r="D24" s="16" t="str">
        <f t="shared" si="5"/>
        <v>27FF</v>
      </c>
      <c r="E24" s="12">
        <f t="shared" si="6"/>
        <v>10239</v>
      </c>
      <c r="F24" s="16" t="s">
        <v>123</v>
      </c>
      <c r="I24" t="str">
        <f t="shared" si="0"/>
        <v>400B1800</v>
      </c>
      <c r="J24" t="str">
        <f t="shared" si="1"/>
        <v>400B3FFF</v>
      </c>
      <c r="K24">
        <f t="shared" si="2"/>
        <v>1074468864</v>
      </c>
      <c r="L24">
        <f t="shared" si="3"/>
        <v>1074479103</v>
      </c>
      <c r="M24">
        <f t="shared" si="4"/>
        <v>10239</v>
      </c>
    </row>
    <row r="25" spans="1:13">
      <c r="A25" s="18"/>
      <c r="B25" s="9" t="s">
        <v>60</v>
      </c>
      <c r="C25" s="9" t="s">
        <v>69</v>
      </c>
      <c r="D25" s="15" t="str">
        <f t="shared" si="5"/>
        <v>7FF</v>
      </c>
      <c r="E25" s="10">
        <f t="shared" si="6"/>
        <v>2047</v>
      </c>
      <c r="F25" s="9" t="s">
        <v>76</v>
      </c>
      <c r="I25" t="str">
        <f t="shared" si="0"/>
        <v>400B4000</v>
      </c>
      <c r="J25" t="str">
        <f t="shared" si="1"/>
        <v>400B47FF</v>
      </c>
      <c r="K25">
        <f t="shared" si="2"/>
        <v>1074479104</v>
      </c>
      <c r="L25">
        <f t="shared" si="3"/>
        <v>1074481151</v>
      </c>
      <c r="M25">
        <f t="shared" si="4"/>
        <v>2047</v>
      </c>
    </row>
    <row r="26" spans="1:13">
      <c r="A26" s="18"/>
      <c r="B26" s="11" t="s">
        <v>61</v>
      </c>
      <c r="C26" s="11" t="s">
        <v>70</v>
      </c>
      <c r="D26" s="16" t="str">
        <f t="shared" si="5"/>
        <v>37FF</v>
      </c>
      <c r="E26" s="12">
        <f t="shared" si="6"/>
        <v>14335</v>
      </c>
      <c r="F26" s="16" t="s">
        <v>123</v>
      </c>
      <c r="I26" t="str">
        <f t="shared" si="0"/>
        <v>400B4800</v>
      </c>
      <c r="J26" t="str">
        <f t="shared" si="1"/>
        <v>400B7FFF</v>
      </c>
      <c r="K26">
        <f t="shared" si="2"/>
        <v>1074481152</v>
      </c>
      <c r="L26">
        <f t="shared" si="3"/>
        <v>1074495487</v>
      </c>
      <c r="M26">
        <f t="shared" si="4"/>
        <v>14335</v>
      </c>
    </row>
    <row r="27" spans="1:13">
      <c r="A27" s="18"/>
      <c r="B27" s="9" t="s">
        <v>62</v>
      </c>
      <c r="C27" s="9" t="s">
        <v>71</v>
      </c>
      <c r="D27" s="15" t="str">
        <f t="shared" si="5"/>
        <v>7FF</v>
      </c>
      <c r="E27" s="10">
        <f t="shared" si="6"/>
        <v>2047</v>
      </c>
      <c r="F27" s="9" t="s">
        <v>77</v>
      </c>
      <c r="I27" t="str">
        <f t="shared" si="0"/>
        <v>400B8000</v>
      </c>
      <c r="J27" t="str">
        <f t="shared" si="1"/>
        <v>400B87FF</v>
      </c>
      <c r="K27">
        <f t="shared" si="2"/>
        <v>1074495488</v>
      </c>
      <c r="L27">
        <f t="shared" si="3"/>
        <v>1074497535</v>
      </c>
      <c r="M27">
        <f t="shared" si="4"/>
        <v>2047</v>
      </c>
    </row>
    <row r="28" spans="1:13">
      <c r="A28" s="18"/>
      <c r="B28" s="11" t="s">
        <v>63</v>
      </c>
      <c r="C28" s="11" t="s">
        <v>72</v>
      </c>
      <c r="D28" s="16" t="str">
        <f t="shared" si="5"/>
        <v>7FF</v>
      </c>
      <c r="E28" s="12">
        <f t="shared" si="6"/>
        <v>2047</v>
      </c>
      <c r="F28" s="16" t="s">
        <v>123</v>
      </c>
      <c r="I28" t="str">
        <f t="shared" si="0"/>
        <v>400B8800</v>
      </c>
      <c r="J28" t="str">
        <f t="shared" si="1"/>
        <v>400B8FFF</v>
      </c>
      <c r="K28">
        <f t="shared" si="2"/>
        <v>1074497536</v>
      </c>
      <c r="L28">
        <f t="shared" si="3"/>
        <v>1074499583</v>
      </c>
      <c r="M28">
        <f t="shared" si="4"/>
        <v>2047</v>
      </c>
    </row>
    <row r="29" spans="1:13">
      <c r="A29" s="18"/>
      <c r="B29" s="9" t="s">
        <v>64</v>
      </c>
      <c r="C29" s="9" t="s">
        <v>73</v>
      </c>
      <c r="D29" s="15" t="str">
        <f t="shared" si="5"/>
        <v>7FF</v>
      </c>
      <c r="E29" s="10">
        <f t="shared" si="6"/>
        <v>2047</v>
      </c>
      <c r="F29" s="9" t="s">
        <v>78</v>
      </c>
      <c r="I29" t="str">
        <f t="shared" si="0"/>
        <v>400B9000</v>
      </c>
      <c r="J29" t="str">
        <f t="shared" si="1"/>
        <v>400B97FF</v>
      </c>
      <c r="K29">
        <f t="shared" si="2"/>
        <v>1074499584</v>
      </c>
      <c r="L29">
        <f t="shared" si="3"/>
        <v>1074501631</v>
      </c>
      <c r="M29">
        <f t="shared" si="4"/>
        <v>2047</v>
      </c>
    </row>
    <row r="30" spans="1:13">
      <c r="A30" s="18"/>
      <c r="B30" s="11" t="s">
        <v>124</v>
      </c>
      <c r="C30" s="11" t="s">
        <v>126</v>
      </c>
      <c r="D30" s="16" t="str">
        <f t="shared" si="5"/>
        <v>7FF</v>
      </c>
      <c r="E30" s="12">
        <f t="shared" si="6"/>
        <v>2047</v>
      </c>
      <c r="F30" s="16" t="s">
        <v>123</v>
      </c>
      <c r="I30" t="str">
        <f t="shared" si="0"/>
        <v>400B9800</v>
      </c>
      <c r="J30" t="str">
        <f t="shared" si="1"/>
        <v>400B9FFF</v>
      </c>
      <c r="K30">
        <f t="shared" si="2"/>
        <v>1074501632</v>
      </c>
      <c r="L30">
        <f t="shared" si="3"/>
        <v>1074503679</v>
      </c>
      <c r="M30">
        <f t="shared" si="4"/>
        <v>2047</v>
      </c>
    </row>
    <row r="31" spans="1:13">
      <c r="A31" s="19"/>
      <c r="B31" s="9" t="s">
        <v>125</v>
      </c>
      <c r="C31" s="9" t="s">
        <v>127</v>
      </c>
      <c r="D31" s="15" t="str">
        <f t="shared" si="5"/>
        <v>7FF</v>
      </c>
      <c r="E31" s="10">
        <f t="shared" si="6"/>
        <v>2047</v>
      </c>
      <c r="F31" s="9" t="s">
        <v>128</v>
      </c>
      <c r="I31" t="str">
        <f t="shared" ref="I31:I51" si="7">RIGHT(B31,LEN(B31)-2)</f>
        <v>400BA000</v>
      </c>
      <c r="J31" t="str">
        <f t="shared" ref="J31:J51" si="8">RIGHT(C31,LEN(C31)-2)</f>
        <v>400BA7FF</v>
      </c>
      <c r="K31">
        <f t="shared" ref="K31:K51" si="9">HEX2DEC(I31)</f>
        <v>1074503680</v>
      </c>
      <c r="L31">
        <f t="shared" ref="L31:L51" si="10">HEX2DEC(J31)</f>
        <v>1074505727</v>
      </c>
      <c r="M31">
        <f t="shared" ref="M31:M51" si="11">L31-K31</f>
        <v>2047</v>
      </c>
    </row>
    <row r="32" spans="1:13">
      <c r="A32" s="11"/>
      <c r="B32" s="11" t="s">
        <v>82</v>
      </c>
      <c r="C32" s="11" t="s">
        <v>93</v>
      </c>
      <c r="D32" s="16" t="str">
        <f t="shared" si="5"/>
        <v>FF457FF</v>
      </c>
      <c r="E32" s="12">
        <f t="shared" si="6"/>
        <v>267671551</v>
      </c>
      <c r="F32" s="16" t="s">
        <v>123</v>
      </c>
      <c r="I32" t="str">
        <f t="shared" si="7"/>
        <v>400BA800</v>
      </c>
      <c r="J32" t="str">
        <f t="shared" si="8"/>
        <v>4FFFFFFF</v>
      </c>
      <c r="K32">
        <f t="shared" si="9"/>
        <v>1074505728</v>
      </c>
      <c r="L32">
        <f t="shared" si="10"/>
        <v>1342177279</v>
      </c>
      <c r="M32">
        <f t="shared" si="11"/>
        <v>267671551</v>
      </c>
    </row>
    <row r="33" spans="1:13">
      <c r="A33" s="17" t="s">
        <v>129</v>
      </c>
      <c r="B33" s="9" t="s">
        <v>83</v>
      </c>
      <c r="C33" s="9" t="s">
        <v>94</v>
      </c>
      <c r="D33" s="15" t="str">
        <f t="shared" si="5"/>
        <v>FFFF</v>
      </c>
      <c r="E33" s="10">
        <f t="shared" si="6"/>
        <v>65535</v>
      </c>
      <c r="F33" s="9" t="s">
        <v>104</v>
      </c>
      <c r="I33" t="str">
        <f t="shared" si="7"/>
        <v>41000000</v>
      </c>
      <c r="J33" t="str">
        <f t="shared" si="8"/>
        <v>4100FFFF</v>
      </c>
      <c r="K33">
        <f t="shared" si="9"/>
        <v>1090519040</v>
      </c>
      <c r="L33">
        <f t="shared" si="10"/>
        <v>1090584575</v>
      </c>
      <c r="M33">
        <f t="shared" si="11"/>
        <v>65535</v>
      </c>
    </row>
    <row r="34" spans="1:13">
      <c r="A34" s="19"/>
      <c r="B34" s="9" t="s">
        <v>84</v>
      </c>
      <c r="C34" s="9" t="s">
        <v>95</v>
      </c>
      <c r="D34" s="15" t="str">
        <f t="shared" si="5"/>
        <v>2CFFF</v>
      </c>
      <c r="E34" s="10">
        <f t="shared" si="6"/>
        <v>184319</v>
      </c>
      <c r="F34" s="9" t="s">
        <v>104</v>
      </c>
      <c r="I34" t="str">
        <f t="shared" si="7"/>
        <v>41010000</v>
      </c>
      <c r="J34" t="str">
        <f t="shared" si="8"/>
        <v>4103CFFF</v>
      </c>
      <c r="K34">
        <f t="shared" si="9"/>
        <v>1090584576</v>
      </c>
      <c r="L34">
        <f t="shared" si="10"/>
        <v>1090768895</v>
      </c>
      <c r="M34">
        <f t="shared" si="11"/>
        <v>184319</v>
      </c>
    </row>
    <row r="35" spans="1:13">
      <c r="A35" s="11"/>
      <c r="B35" s="11" t="s">
        <v>85</v>
      </c>
      <c r="C35" s="11" t="s">
        <v>96</v>
      </c>
      <c r="D35" s="16" t="str">
        <f t="shared" si="5"/>
        <v>2FCB</v>
      </c>
      <c r="E35" s="12">
        <f t="shared" si="6"/>
        <v>12235</v>
      </c>
      <c r="F35" s="16" t="s">
        <v>123</v>
      </c>
      <c r="I35" t="str">
        <f t="shared" si="7"/>
        <v>4103D000</v>
      </c>
      <c r="J35" t="str">
        <f t="shared" si="8"/>
        <v>4103FFCB</v>
      </c>
      <c r="K35">
        <f t="shared" si="9"/>
        <v>1090768896</v>
      </c>
      <c r="L35">
        <f t="shared" si="10"/>
        <v>1090781131</v>
      </c>
      <c r="M35">
        <f t="shared" si="11"/>
        <v>12235</v>
      </c>
    </row>
    <row r="36" spans="1:13">
      <c r="A36" s="8"/>
      <c r="B36" s="9" t="s">
        <v>86</v>
      </c>
      <c r="C36" s="9" t="s">
        <v>97</v>
      </c>
      <c r="D36" s="15" t="str">
        <f t="shared" si="5"/>
        <v>3</v>
      </c>
      <c r="E36" s="10">
        <f t="shared" si="6"/>
        <v>3</v>
      </c>
      <c r="F36" s="9" t="s">
        <v>105</v>
      </c>
      <c r="I36" t="str">
        <f t="shared" si="7"/>
        <v>4103FFCC</v>
      </c>
      <c r="J36" t="str">
        <f t="shared" si="8"/>
        <v>4103FFCF</v>
      </c>
      <c r="K36">
        <f t="shared" si="9"/>
        <v>1090781132</v>
      </c>
      <c r="L36">
        <f t="shared" si="10"/>
        <v>1090781135</v>
      </c>
      <c r="M36">
        <f t="shared" si="11"/>
        <v>3</v>
      </c>
    </row>
    <row r="37" spans="1:13">
      <c r="A37" s="8"/>
      <c r="B37" s="9" t="s">
        <v>87</v>
      </c>
      <c r="C37" s="9" t="s">
        <v>98</v>
      </c>
      <c r="D37" s="15" t="str">
        <f t="shared" si="5"/>
        <v>3</v>
      </c>
      <c r="E37" s="10">
        <f t="shared" si="6"/>
        <v>3</v>
      </c>
      <c r="F37" s="9" t="s">
        <v>106</v>
      </c>
      <c r="I37" t="str">
        <f t="shared" si="7"/>
        <v>4103FFD4</v>
      </c>
      <c r="J37" t="str">
        <f t="shared" si="8"/>
        <v>4103FFD7</v>
      </c>
      <c r="K37">
        <f t="shared" si="9"/>
        <v>1090781140</v>
      </c>
      <c r="L37">
        <f t="shared" si="10"/>
        <v>1090781143</v>
      </c>
      <c r="M37">
        <f t="shared" si="11"/>
        <v>3</v>
      </c>
    </row>
    <row r="38" spans="1:13">
      <c r="A38" s="8"/>
      <c r="B38" s="9" t="s">
        <v>88</v>
      </c>
      <c r="C38" s="9" t="s">
        <v>99</v>
      </c>
      <c r="D38" s="15" t="str">
        <f t="shared" si="5"/>
        <v>3</v>
      </c>
      <c r="E38" s="10">
        <f t="shared" si="6"/>
        <v>3</v>
      </c>
      <c r="F38" s="9" t="s">
        <v>107</v>
      </c>
      <c r="I38" t="str">
        <f t="shared" si="7"/>
        <v>4103FFD8</v>
      </c>
      <c r="J38" t="str">
        <f t="shared" si="8"/>
        <v>4103FFDB</v>
      </c>
      <c r="K38">
        <f t="shared" si="9"/>
        <v>1090781144</v>
      </c>
      <c r="L38">
        <f t="shared" si="10"/>
        <v>1090781147</v>
      </c>
      <c r="M38">
        <f t="shared" si="11"/>
        <v>3</v>
      </c>
    </row>
    <row r="39" spans="1:13">
      <c r="A39" s="8"/>
      <c r="B39" s="9" t="s">
        <v>89</v>
      </c>
      <c r="C39" s="9" t="s">
        <v>100</v>
      </c>
      <c r="D39" s="15" t="str">
        <f t="shared" si="5"/>
        <v>3</v>
      </c>
      <c r="E39" s="10">
        <f t="shared" si="6"/>
        <v>3</v>
      </c>
      <c r="F39" s="9" t="s">
        <v>108</v>
      </c>
      <c r="I39" t="str">
        <f t="shared" si="7"/>
        <v>4103FFDC</v>
      </c>
      <c r="J39" t="str">
        <f t="shared" si="8"/>
        <v>4103FFDF</v>
      </c>
      <c r="K39">
        <f t="shared" si="9"/>
        <v>1090781148</v>
      </c>
      <c r="L39">
        <f t="shared" si="10"/>
        <v>1090781151</v>
      </c>
      <c r="M39">
        <f t="shared" si="11"/>
        <v>3</v>
      </c>
    </row>
    <row r="40" spans="1:13">
      <c r="A40" s="8"/>
      <c r="B40" s="9" t="s">
        <v>90</v>
      </c>
      <c r="C40" s="9" t="s">
        <v>101</v>
      </c>
      <c r="D40" s="15" t="str">
        <f t="shared" si="5"/>
        <v>3</v>
      </c>
      <c r="E40" s="10">
        <f t="shared" si="6"/>
        <v>3</v>
      </c>
      <c r="F40" s="9" t="s">
        <v>109</v>
      </c>
      <c r="I40" t="str">
        <f t="shared" si="7"/>
        <v>4103FFE0</v>
      </c>
      <c r="J40" t="str">
        <f t="shared" si="8"/>
        <v>4103FFE3</v>
      </c>
      <c r="K40">
        <f t="shared" si="9"/>
        <v>1090781152</v>
      </c>
      <c r="L40">
        <f t="shared" si="10"/>
        <v>1090781155</v>
      </c>
      <c r="M40">
        <f t="shared" si="11"/>
        <v>3</v>
      </c>
    </row>
    <row r="41" spans="1:13">
      <c r="A41" s="8"/>
      <c r="B41" s="9" t="s">
        <v>91</v>
      </c>
      <c r="C41" s="9" t="s">
        <v>102</v>
      </c>
      <c r="D41" s="15" t="str">
        <f t="shared" si="5"/>
        <v>3</v>
      </c>
      <c r="E41" s="10">
        <f t="shared" si="6"/>
        <v>3</v>
      </c>
      <c r="F41" s="9" t="s">
        <v>110</v>
      </c>
      <c r="I41" t="str">
        <f t="shared" si="7"/>
        <v>4103FFE4</v>
      </c>
      <c r="J41" t="str">
        <f t="shared" si="8"/>
        <v>4103FFE7</v>
      </c>
      <c r="K41">
        <f t="shared" si="9"/>
        <v>1090781156</v>
      </c>
      <c r="L41">
        <f t="shared" si="10"/>
        <v>1090781159</v>
      </c>
      <c r="M41">
        <f t="shared" si="11"/>
        <v>3</v>
      </c>
    </row>
    <row r="42" spans="1:13">
      <c r="A42" s="8"/>
      <c r="B42" s="9" t="s">
        <v>92</v>
      </c>
      <c r="C42" s="9" t="s">
        <v>103</v>
      </c>
      <c r="D42" s="15" t="str">
        <f t="shared" si="5"/>
        <v>F</v>
      </c>
      <c r="E42" s="10">
        <f t="shared" si="6"/>
        <v>15</v>
      </c>
      <c r="F42" s="9" t="s">
        <v>111</v>
      </c>
      <c r="I42" t="str">
        <f t="shared" si="7"/>
        <v>4103FFE8</v>
      </c>
      <c r="J42" t="str">
        <f t="shared" si="8"/>
        <v>4103FFF7</v>
      </c>
      <c r="K42">
        <f t="shared" si="9"/>
        <v>1090781160</v>
      </c>
      <c r="L42">
        <f t="shared" si="10"/>
        <v>1090781175</v>
      </c>
      <c r="M42">
        <f t="shared" si="11"/>
        <v>15</v>
      </c>
    </row>
    <row r="43" spans="1:13">
      <c r="A43" t="s">
        <v>132</v>
      </c>
      <c r="B43"/>
      <c r="C43"/>
      <c r="D43"/>
      <c r="E43"/>
      <c r="F43"/>
    </row>
    <row r="44" spans="1:13">
      <c r="A44" t="s">
        <v>133</v>
      </c>
      <c r="B44"/>
      <c r="C44"/>
      <c r="D44"/>
      <c r="E44"/>
      <c r="F44"/>
    </row>
    <row r="45" spans="1:13">
      <c r="B45"/>
      <c r="C45"/>
      <c r="D45"/>
      <c r="E45"/>
      <c r="F45"/>
    </row>
    <row r="46" spans="1:13">
      <c r="B46"/>
      <c r="C46"/>
      <c r="D46"/>
      <c r="E46"/>
      <c r="F46"/>
    </row>
    <row r="47" spans="1:13">
      <c r="B47"/>
      <c r="C47"/>
      <c r="D47"/>
      <c r="E47"/>
      <c r="F47"/>
    </row>
    <row r="48" spans="1:13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E59"/>
    </row>
    <row r="60" spans="2:6">
      <c r="E60"/>
    </row>
    <row r="61" spans="2:6">
      <c r="E61"/>
    </row>
  </sheetData>
  <mergeCells count="5">
    <mergeCell ref="A2:A4"/>
    <mergeCell ref="A6:A9"/>
    <mergeCell ref="A11:A19"/>
    <mergeCell ref="A21:A31"/>
    <mergeCell ref="A33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2026-02-22T00:18:11Z</dcterms:created>
  <dcterms:modified xsi:type="dcterms:W3CDTF">2026-02-22T01:47:44Z</dcterms:modified>
</cp:coreProperties>
</file>